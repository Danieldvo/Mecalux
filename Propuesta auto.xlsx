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iel.vargas\Desktop\Dani\Camara web\"/>
    </mc:Choice>
  </mc:AlternateContent>
  <xr:revisionPtr revIDLastSave="0" documentId="13_ncr:1_{4D1D2067-7A61-49B9-AF8D-EFD37F466D0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PROFIBUS" sheetId="1" r:id="rId1"/>
    <sheet name="PROFINET" sheetId="3" r:id="rId2"/>
    <sheet name="BD_Materiales" sheetId="4" r:id="rId3"/>
    <sheet name="Configurador2" sheetId="6" r:id="rId4"/>
    <sheet name="Descomp" sheetId="7" r:id="rId5"/>
    <sheet name="Configurador" sheetId="5" r:id="rId6"/>
  </sheets>
  <definedNames>
    <definedName name="Num_Maq">Configurador!$B$7</definedName>
    <definedName name="Sel_Distancia">Configurador!$B$6</definedName>
    <definedName name="Sel_Exposicion">Configurador!$B$5</definedName>
    <definedName name="Sel_Funcion">Configurador!$B$2</definedName>
    <definedName name="Sel_Interfaz">Configurador!$B$3</definedName>
    <definedName name="Sel_NumMaq">Configurador!$B$7</definedName>
    <definedName name="Sel_Red">Configurador!$B$1</definedName>
    <definedName name="Sel_Tablet">Configurador!$B$3</definedName>
    <definedName name="Sel_Vision">Configurador!$B$4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6" l="1" a="1"/>
  <c r="D11" i="6" s="1"/>
  <c r="D28" i="6" a="1"/>
  <c r="D28" i="6" s="1"/>
  <c r="A10" i="5" l="1" a="1"/>
  <c r="A10" i="5" s="1"/>
  <c r="B10" i="5" a="1"/>
  <c r="B10" i="5" s="1"/>
  <c r="A26" i="5" a="1"/>
  <c r="A26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<sst xmlns="http://schemas.openxmlformats.org/spreadsheetml/2006/main" count="355" uniqueCount="123">
  <si>
    <t>Materiales externos</t>
  </si>
  <si>
    <t>R0214763</t>
  </si>
  <si>
    <t>Referencia</t>
  </si>
  <si>
    <t>Descripción</t>
  </si>
  <si>
    <t>KI-SISTEMA VISION CUNA MT/MTB 3G</t>
  </si>
  <si>
    <t>FOCO LED 10W 220V 6500K 1150LM</t>
  </si>
  <si>
    <t>R0202116</t>
  </si>
  <si>
    <t>R0210171</t>
  </si>
  <si>
    <t>TRANSM.DATOS.INF.F3 1-120MT FR.PFN</t>
  </si>
  <si>
    <t>R0210172</t>
  </si>
  <si>
    <t>R0015287</t>
  </si>
  <si>
    <t>R0030108</t>
  </si>
  <si>
    <t>R0001651</t>
  </si>
  <si>
    <t>Material varios</t>
  </si>
  <si>
    <t>TRANSM.DATOS.INF.F4 1-120MT FR.PFN</t>
  </si>
  <si>
    <t>CONEC.H RECTO M12 4P+ 5M CABLE P</t>
  </si>
  <si>
    <t>CONECTOR RJ45 P/IE SALIDA CABL 180º</t>
  </si>
  <si>
    <t>MANGUERA  3G1,0 NUM.-ML</t>
  </si>
  <si>
    <t>R0025551</t>
  </si>
  <si>
    <t>MONITOR DELL 19"</t>
  </si>
  <si>
    <t>Cantidad</t>
  </si>
  <si>
    <t>Tipo</t>
  </si>
  <si>
    <t>Vis + Control</t>
  </si>
  <si>
    <t>Vis</t>
  </si>
  <si>
    <t>PROFIBUS</t>
  </si>
  <si>
    <t>PROFINET</t>
  </si>
  <si>
    <t>SOPORTERIA (focos,camaras,fotocelulas..)</t>
  </si>
  <si>
    <t>KS-PREMONTAJES CAMARA (+P0, +AE,+CU)</t>
  </si>
  <si>
    <t>Materiales internos</t>
  </si>
  <si>
    <t>RS040339</t>
  </si>
  <si>
    <t>RS040334</t>
  </si>
  <si>
    <t>Botoneras y Balizas</t>
  </si>
  <si>
    <t>RS092800</t>
  </si>
  <si>
    <t>RS040329</t>
  </si>
  <si>
    <t>RS040330</t>
  </si>
  <si>
    <t>Distancia</t>
  </si>
  <si>
    <t>No tiene precio?</t>
  </si>
  <si>
    <t>R0217846</t>
  </si>
  <si>
    <t>KI-BOTONERA CONTROL</t>
  </si>
  <si>
    <t>KI-ARMARIO SAF IMA</t>
  </si>
  <si>
    <t>KS-MANGUERAS +XAUX</t>
  </si>
  <si>
    <t>KS-MANGUERAS +CR</t>
  </si>
  <si>
    <t>SWITCH ETHERNET GESTIONABLE</t>
  </si>
  <si>
    <t>KI-BALIZA CONTROL</t>
  </si>
  <si>
    <t>MANO DE OBRA, CONTROL &amp; PUESTA EN MARCHA</t>
  </si>
  <si>
    <t>INGENIERIA</t>
  </si>
  <si>
    <t>Partida alzada desarrollo ingeniería mecanica y electrica</t>
  </si>
  <si>
    <t>?</t>
  </si>
  <si>
    <t>PRECIO</t>
  </si>
  <si>
    <t>Variable? PC o Tablet</t>
  </si>
  <si>
    <t>Siempre necesario?</t>
  </si>
  <si>
    <t>Categoria</t>
  </si>
  <si>
    <t>Red</t>
  </si>
  <si>
    <t>Interno</t>
  </si>
  <si>
    <t>Ambos</t>
  </si>
  <si>
    <t>NO</t>
  </si>
  <si>
    <t>Externo</t>
  </si>
  <si>
    <t>Profibus</t>
  </si>
  <si>
    <t>SI</t>
  </si>
  <si>
    <t>TABLET</t>
  </si>
  <si>
    <t>Tablet</t>
  </si>
  <si>
    <t>Función</t>
  </si>
  <si>
    <t>Materiales Internos</t>
  </si>
  <si>
    <t>Descripcion</t>
  </si>
  <si>
    <t>Materiales Externos</t>
  </si>
  <si>
    <t>Visualización + Control</t>
  </si>
  <si>
    <t>numero de maquinas/traslos</t>
  </si>
  <si>
    <t>Focos? Vision nocturna</t>
  </si>
  <si>
    <t>KI-ARMARIO AUX</t>
  </si>
  <si>
    <t>FRIO/Ambiente</t>
  </si>
  <si>
    <t xml:space="preserve">seria otros transmisores </t>
  </si>
  <si>
    <t>longitud transmisores: si son en x o Y</t>
  </si>
  <si>
    <t>X=120 ok Y=menos metros de los trans</t>
  </si>
  <si>
    <t>tanto de frio como ambiente, 120 y 40</t>
  </si>
  <si>
    <t xml:space="preserve">Distancia profinet max 150 m, a partir de 150 es necesario switch </t>
  </si>
  <si>
    <t>necesidad de definir distancia</t>
  </si>
  <si>
    <t>PC nuevo o PC Actual, si es nuevo es necseario incluir uno "CPC -Control con PC y/o PLC=20.260"</t>
  </si>
  <si>
    <t>CPC 1 PC</t>
  </si>
  <si>
    <t>Número Máquinas</t>
  </si>
  <si>
    <t>Meter otra variable PC NUEVO</t>
  </si>
  <si>
    <t>Viszualización siempre monitor o tablet</t>
  </si>
  <si>
    <t>Variable wifi?? A modo informativo, ya no se oferta</t>
  </si>
  <si>
    <t>RS, no es estandar, por lo tanto el precio no se actualiza nunca. Pedir estandarizar</t>
  </si>
  <si>
    <t>si hay tablet, seta emergencia</t>
  </si>
  <si>
    <t>PC visualización, más barato</t>
  </si>
  <si>
    <t>Seta x maquina/pasillo</t>
  </si>
  <si>
    <t>material vario x maquina?</t>
  </si>
  <si>
    <t>armario no incluir con el pc!!</t>
  </si>
  <si>
    <t>Unico</t>
  </si>
  <si>
    <t>SETA EMERGENCIA</t>
  </si>
  <si>
    <t>Ambiente</t>
  </si>
  <si>
    <t>Exposición</t>
  </si>
  <si>
    <t>Frio</t>
  </si>
  <si>
    <t>Nuevo PC</t>
  </si>
  <si>
    <t>Pte</t>
  </si>
  <si>
    <t>TRANSM.DATOS.INF.F4 1-40MT FR.PFN</t>
  </si>
  <si>
    <t>TRANSM.DATOS.INF.F3 1-120MT AMB.PFN</t>
  </si>
  <si>
    <t>TRANSM.DATOS.INF.F4 1-40MT AMB.PFN</t>
  </si>
  <si>
    <t>Visión Nocturna</t>
  </si>
  <si>
    <t>(si hay tablet, no hay monitor, y hace falta pc) -&gt; Rechazada</t>
  </si>
  <si>
    <t>Profinet</t>
  </si>
  <si>
    <t>Vision</t>
  </si>
  <si>
    <t>Clima</t>
  </si>
  <si>
    <t>Descripción Materiales Internos</t>
  </si>
  <si>
    <t>Descripción Materiales Externos</t>
  </si>
  <si>
    <t>Qty_Vis = 1 &amp; Qty_VisControl=0</t>
  </si>
  <si>
    <t>Qty_Vis = 1 &amp; Qty_VisControl=1</t>
  </si>
  <si>
    <t>Variable Columna Tabla "Tbl_Materiales"</t>
  </si>
  <si>
    <t>Tablet= 0 &amp; Tablet=1</t>
  </si>
  <si>
    <t>Nuevo PC= 0 &amp; Nuevo PC=1</t>
  </si>
  <si>
    <t>Red=Ambos</t>
  </si>
  <si>
    <t>Red=Ambos &amp; Red= Profibus</t>
  </si>
  <si>
    <t>Tablet= 0</t>
  </si>
  <si>
    <t>Nuevo PC= 0</t>
  </si>
  <si>
    <t>Vision Nocturna= 0 &amp; Vision Nocturna=1</t>
  </si>
  <si>
    <t>Vision Nocturna= 0</t>
  </si>
  <si>
    <t>Clima=Ambiente &amp; Clima=Ambos</t>
  </si>
  <si>
    <t>Clima=Frio &amp; Clima=Ambos</t>
  </si>
  <si>
    <t>Variable seleccionada del listado desplegable</t>
  </si>
  <si>
    <t>VisControl</t>
  </si>
  <si>
    <t>Precio</t>
  </si>
  <si>
    <t>PTE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</si>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</sst>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Alignment="0" applyProtection="0">
      <protection locked="0"/>
    </xf>
    <xf numFmtId="0" fontId="2" fillId="0" borderId="0" applyNumberFormat="0" applyAlignment="0">
      <alignment horizontal="left"/>
      <protection locked="0"/>
    </xf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2" borderId="0" xfId="1" applyNumberFormat="1" applyProtection="1">
      <protection locked="0"/>
    </xf>
    <xf numFmtId="0" fontId="2" fillId="2" borderId="0" xfId="1" applyNumberFormat="1" applyAlignment="1" applyProtection="1">
      <alignment vertical="center"/>
      <protection locked="0"/>
    </xf>
    <xf numFmtId="0" fontId="1" fillId="0" borderId="0" xfId="0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 applyAlignment="1">
      <alignment horizontal="center"/>
    </xf>
    <xf numFmtId="0" fontId="3" fillId="2" borderId="0" xfId="1" applyNumberFormat="1" applyFont="1" applyProtection="1">
      <protection locked="0"/>
    </xf>
    <xf numFmtId="0" fontId="1" fillId="0" borderId="1" xfId="0" applyFont="1" applyBorder="1"/>
    <xf numFmtId="0" fontId="4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11" xfId="0" applyBorder="1"/>
    <xf numFmtId="0" fontId="1" fillId="0" borderId="11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3">
    <cellStyle name="Normal" xfId="0" builtinId="0"/>
    <cellStyle name="TextoEntrada" xfId="2" xr:uid="{AF40449C-0A6E-42E3-ABAC-C7B66768919A}"/>
    <cellStyle name="TextoProtegido" xfId="1" xr:uid="{86B76B11-AA39-4E41-9FE1-35586D53BD52}"/>
  </cellStyles>
  <dxfs count="12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4DE21-900B-4487-B7C4-0C6A8B7EC337}" name="Tbl_Materiales" displayName="Tbl_Materiales" ref="A1:J23" totalsRowShown="0" headerRowDxfId="11" dataDxfId="10">
  <autoFilter ref="A1:J23" xr:uid="{4BA4DE21-900B-4487-B7C4-0C6A8B7EC337}"/>
  <tableColumns count="10">
    <tableColumn id="1" xr3:uid="{AE983BA8-FD30-4ABE-BD02-4CCC66D6F47C}" name="Categoria" dataDxfId="9"/>
    <tableColumn id="2" xr3:uid="{0DCDB229-C949-4492-BBE7-6ACB499AA81B}" name="Referencia" dataDxfId="8"/>
    <tableColumn id="3" xr3:uid="{79BFB47D-49C0-46FA-8EDF-9B55CC7871AB}" name="Descripcion" dataDxfId="7"/>
    <tableColumn id="4" xr3:uid="{27441580-C876-475C-85EB-B6E71FAC0303}" name="Red" dataDxfId="6"/>
    <tableColumn id="10" xr3:uid="{D45BC1EF-476B-490A-8C9A-A18FD5CB0A52}" name="Clima" dataDxfId="5"/>
    <tableColumn id="6" xr3:uid="{6AF3FA28-B81A-4AF9-971C-B479B67E72ED}" name="Vis" dataDxfId="4"/>
    <tableColumn id="7" xr3:uid="{07E837A4-6692-49ED-BD3E-3B74FCD465A6}" name="VisControl" dataDxfId="3"/>
    <tableColumn id="9" xr3:uid="{D61CADE2-6940-4FB6-9F06-50C872767C5E}" name="Unico" dataDxfId="2"/>
    <tableColumn id="13" xr3:uid="{EA929F84-DC08-4BD5-9FCC-CF3FCB825C1C}" name="Cantidad" dataDxfId="1"/>
    <tableColumn id="14" xr3:uid="{409EE36F-3A44-4737-99BB-0EDE99338302}" name="Preci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1:G41"/>
  <sheetViews>
    <sheetView zoomScale="130" zoomScaleNormal="130" workbookViewId="0">
      <selection activeCell="D25" sqref="D25"/>
    </sheetView>
  </sheetViews>
  <sheetFormatPr baseColWidth="10" defaultColWidth="9.140625" defaultRowHeight="15" x14ac:dyDescent="0.25"/>
  <cols>
    <col min="1" max="1" width="18.85546875" bestFit="1" customWidth="1"/>
    <col min="2" max="2" width="10.5703125" bestFit="1" customWidth="1"/>
    <col min="3" max="3" width="48.5703125" bestFit="1" customWidth="1"/>
    <col min="4" max="4" width="9" bestFit="1" customWidth="1"/>
    <col min="5" max="5" width="12.140625" bestFit="1" customWidth="1"/>
    <col min="6" max="6" width="18.5703125" bestFit="1" customWidth="1"/>
    <col min="7" max="7" width="19.85546875" bestFit="1" customWidth="1"/>
  </cols>
  <sheetData>
    <row r="1" spans="2:6" ht="15.75" thickBot="1" x14ac:dyDescent="0.3">
      <c r="C1" s="4"/>
    </row>
    <row r="2" spans="2:6" ht="15.75" thickBot="1" x14ac:dyDescent="0.3">
      <c r="B2" s="25" t="s">
        <v>24</v>
      </c>
      <c r="C2" s="27"/>
      <c r="D2" s="27"/>
      <c r="E2" s="26"/>
    </row>
    <row r="3" spans="2:6" ht="15.75" thickBot="1" x14ac:dyDescent="0.3">
      <c r="B3" s="21" t="s">
        <v>28</v>
      </c>
      <c r="C3" s="22"/>
      <c r="D3" s="25" t="s">
        <v>21</v>
      </c>
      <c r="E3" s="26"/>
    </row>
    <row r="4" spans="2:6" ht="15.75" thickBot="1" x14ac:dyDescent="0.3">
      <c r="B4" s="23"/>
      <c r="C4" s="24"/>
      <c r="D4" s="7" t="s">
        <v>23</v>
      </c>
      <c r="E4" s="7" t="s">
        <v>22</v>
      </c>
    </row>
    <row r="5" spans="2:6" ht="15.75" thickBot="1" x14ac:dyDescent="0.3">
      <c r="B5" s="8" t="s">
        <v>2</v>
      </c>
      <c r="C5" s="8" t="s">
        <v>3</v>
      </c>
      <c r="D5" s="7" t="s">
        <v>20</v>
      </c>
      <c r="E5" s="7" t="s">
        <v>20</v>
      </c>
      <c r="F5" s="9" t="s">
        <v>48</v>
      </c>
    </row>
    <row r="6" spans="2:6" x14ac:dyDescent="0.25">
      <c r="B6" s="9"/>
      <c r="C6" s="3" t="s">
        <v>26</v>
      </c>
      <c r="D6" s="1">
        <v>1</v>
      </c>
      <c r="E6" s="1">
        <v>1</v>
      </c>
    </row>
    <row r="7" spans="2:6" x14ac:dyDescent="0.25">
      <c r="B7" s="9"/>
      <c r="C7" s="3" t="s">
        <v>27</v>
      </c>
      <c r="D7" s="1">
        <v>1</v>
      </c>
      <c r="E7" s="1">
        <v>1</v>
      </c>
    </row>
    <row r="8" spans="2:6" x14ac:dyDescent="0.25">
      <c r="B8" s="9" t="s">
        <v>29</v>
      </c>
      <c r="C8" s="3" t="s">
        <v>43</v>
      </c>
      <c r="D8" s="1">
        <v>0</v>
      </c>
      <c r="E8" s="1">
        <v>1</v>
      </c>
    </row>
    <row r="9" spans="2:6" x14ac:dyDescent="0.25">
      <c r="B9" s="9" t="s">
        <v>30</v>
      </c>
      <c r="C9" s="3" t="s">
        <v>38</v>
      </c>
      <c r="D9" s="1">
        <v>0</v>
      </c>
      <c r="E9" s="1">
        <v>1</v>
      </c>
    </row>
    <row r="10" spans="2:6" x14ac:dyDescent="0.25">
      <c r="B10" s="9"/>
      <c r="C10" s="10" t="s">
        <v>31</v>
      </c>
      <c r="D10" s="1">
        <v>0</v>
      </c>
      <c r="E10" s="1">
        <v>1</v>
      </c>
    </row>
    <row r="11" spans="2:6" x14ac:dyDescent="0.25">
      <c r="B11" s="9" t="s">
        <v>32</v>
      </c>
      <c r="C11" s="3" t="s">
        <v>39</v>
      </c>
      <c r="D11" s="1">
        <v>0</v>
      </c>
      <c r="E11" s="1">
        <v>1</v>
      </c>
    </row>
    <row r="12" spans="2:6" x14ac:dyDescent="0.25">
      <c r="B12" s="9" t="s">
        <v>33</v>
      </c>
      <c r="C12" s="3" t="s">
        <v>40</v>
      </c>
      <c r="D12" s="1">
        <v>0</v>
      </c>
      <c r="E12" s="1">
        <v>1</v>
      </c>
    </row>
    <row r="13" spans="2:6" x14ac:dyDescent="0.25">
      <c r="B13" s="9" t="s">
        <v>34</v>
      </c>
      <c r="C13" s="3" t="s">
        <v>41</v>
      </c>
      <c r="D13" s="1">
        <v>0</v>
      </c>
      <c r="E13" s="1">
        <v>1</v>
      </c>
    </row>
    <row r="14" spans="2:6" x14ac:dyDescent="0.25">
      <c r="B14" s="9"/>
      <c r="C14" s="9"/>
      <c r="D14" s="9"/>
      <c r="E14" s="9"/>
    </row>
    <row r="15" spans="2:6" ht="15.75" thickBot="1" x14ac:dyDescent="0.3">
      <c r="B15" s="9"/>
      <c r="C15" s="9"/>
      <c r="D15" s="6"/>
      <c r="E15" s="6"/>
    </row>
    <row r="16" spans="2:6" ht="15.75" thickBot="1" x14ac:dyDescent="0.3">
      <c r="B16" s="21" t="s">
        <v>0</v>
      </c>
      <c r="C16" s="22"/>
      <c r="D16" s="25" t="s">
        <v>21</v>
      </c>
      <c r="E16" s="26"/>
    </row>
    <row r="17" spans="2:7" ht="15.75" thickBot="1" x14ac:dyDescent="0.3">
      <c r="B17" s="23"/>
      <c r="C17" s="24"/>
      <c r="D17" s="5" t="s">
        <v>23</v>
      </c>
      <c r="E17" s="7" t="s">
        <v>22</v>
      </c>
    </row>
    <row r="18" spans="2:7" ht="15.75" thickBot="1" x14ac:dyDescent="0.3">
      <c r="B18" s="8" t="s">
        <v>2</v>
      </c>
      <c r="C18" s="8" t="s">
        <v>3</v>
      </c>
      <c r="D18" s="7" t="s">
        <v>20</v>
      </c>
      <c r="E18" s="7" t="s">
        <v>20</v>
      </c>
      <c r="F18" s="9" t="s">
        <v>48</v>
      </c>
    </row>
    <row r="19" spans="2:7" x14ac:dyDescent="0.25">
      <c r="B19" t="s">
        <v>1</v>
      </c>
      <c r="C19" s="2" t="s">
        <v>4</v>
      </c>
      <c r="D19" s="1">
        <v>1</v>
      </c>
      <c r="E19" s="1">
        <v>1</v>
      </c>
    </row>
    <row r="20" spans="2:7" x14ac:dyDescent="0.25">
      <c r="B20" t="s">
        <v>6</v>
      </c>
      <c r="C20" s="3" t="s">
        <v>5</v>
      </c>
      <c r="D20" s="1">
        <v>2</v>
      </c>
      <c r="E20" s="1">
        <v>2</v>
      </c>
    </row>
    <row r="21" spans="2:7" x14ac:dyDescent="0.25">
      <c r="B21" t="s">
        <v>7</v>
      </c>
      <c r="C21" s="3" t="s">
        <v>8</v>
      </c>
      <c r="D21" s="1">
        <v>2</v>
      </c>
      <c r="E21" s="1">
        <v>2</v>
      </c>
    </row>
    <row r="22" spans="2:7" x14ac:dyDescent="0.25">
      <c r="B22" t="s">
        <v>9</v>
      </c>
      <c r="C22" s="3" t="s">
        <v>14</v>
      </c>
      <c r="D22" s="1">
        <v>2</v>
      </c>
      <c r="E22" s="1">
        <v>2</v>
      </c>
    </row>
    <row r="23" spans="2:7" x14ac:dyDescent="0.25">
      <c r="B23" t="s">
        <v>10</v>
      </c>
      <c r="C23" s="3" t="s">
        <v>15</v>
      </c>
      <c r="D23" s="1">
        <v>2</v>
      </c>
      <c r="E23" s="1">
        <v>2</v>
      </c>
    </row>
    <row r="24" spans="2:7" x14ac:dyDescent="0.25">
      <c r="B24" t="s">
        <v>11</v>
      </c>
      <c r="C24" s="3" t="s">
        <v>16</v>
      </c>
      <c r="D24" s="1">
        <v>2</v>
      </c>
      <c r="E24" s="1">
        <v>2</v>
      </c>
    </row>
    <row r="25" spans="2:7" x14ac:dyDescent="0.25">
      <c r="B25" t="s">
        <v>12</v>
      </c>
      <c r="C25" s="3" t="s">
        <v>17</v>
      </c>
      <c r="D25" s="13" t="s">
        <v>35</v>
      </c>
      <c r="E25" s="13" t="s">
        <v>35</v>
      </c>
    </row>
    <row r="26" spans="2:7" x14ac:dyDescent="0.25">
      <c r="B26" t="s">
        <v>18</v>
      </c>
      <c r="C26" s="10" t="s">
        <v>19</v>
      </c>
      <c r="D26" s="1">
        <v>1</v>
      </c>
      <c r="E26" s="1">
        <v>1</v>
      </c>
      <c r="G26" s="12" t="s">
        <v>49</v>
      </c>
    </row>
    <row r="27" spans="2:7" x14ac:dyDescent="0.25">
      <c r="B27" t="s">
        <v>37</v>
      </c>
      <c r="C27" s="10" t="s">
        <v>42</v>
      </c>
      <c r="D27" s="1">
        <v>1</v>
      </c>
      <c r="E27" s="1">
        <v>1</v>
      </c>
      <c r="G27" s="12" t="s">
        <v>50</v>
      </c>
    </row>
    <row r="28" spans="2:7" x14ac:dyDescent="0.25">
      <c r="C28" s="2" t="s">
        <v>13</v>
      </c>
      <c r="D28" s="1">
        <v>1</v>
      </c>
      <c r="E28" s="1">
        <v>1</v>
      </c>
    </row>
    <row r="30" spans="2:7" ht="15.75" thickBot="1" x14ac:dyDescent="0.3"/>
    <row r="31" spans="2:7" ht="15.75" thickBot="1" x14ac:dyDescent="0.3">
      <c r="B31" s="21" t="s">
        <v>44</v>
      </c>
      <c r="C31" s="22"/>
      <c r="D31" s="25" t="s">
        <v>21</v>
      </c>
      <c r="E31" s="26"/>
    </row>
    <row r="32" spans="2:7" ht="15.75" thickBot="1" x14ac:dyDescent="0.3">
      <c r="B32" s="23"/>
      <c r="C32" s="24"/>
      <c r="D32" s="5" t="s">
        <v>23</v>
      </c>
      <c r="E32" s="7" t="s">
        <v>22</v>
      </c>
    </row>
    <row r="33" spans="2:6" ht="15.75" thickBot="1" x14ac:dyDescent="0.3">
      <c r="B33" s="8" t="s">
        <v>2</v>
      </c>
      <c r="C33" s="8" t="s">
        <v>3</v>
      </c>
      <c r="D33" s="7" t="s">
        <v>20</v>
      </c>
      <c r="E33" s="7" t="s">
        <v>20</v>
      </c>
      <c r="F33" s="9" t="s">
        <v>48</v>
      </c>
    </row>
    <row r="37" spans="2:6" ht="15.75" thickBot="1" x14ac:dyDescent="0.3"/>
    <row r="38" spans="2:6" ht="15.75" thickBot="1" x14ac:dyDescent="0.3">
      <c r="B38" s="21" t="s">
        <v>45</v>
      </c>
      <c r="C38" s="22"/>
      <c r="D38" s="25" t="s">
        <v>21</v>
      </c>
      <c r="E38" s="26"/>
    </row>
    <row r="39" spans="2:6" ht="15.75" thickBot="1" x14ac:dyDescent="0.3">
      <c r="B39" s="23"/>
      <c r="C39" s="24"/>
      <c r="D39" s="5" t="s">
        <v>23</v>
      </c>
      <c r="E39" s="7" t="s">
        <v>22</v>
      </c>
    </row>
    <row r="40" spans="2:6" ht="15.75" thickBot="1" x14ac:dyDescent="0.3">
      <c r="B40" s="8" t="s">
        <v>2</v>
      </c>
      <c r="C40" s="11" t="s">
        <v>3</v>
      </c>
      <c r="D40" s="7" t="s">
        <v>20</v>
      </c>
      <c r="E40" s="7" t="s">
        <v>20</v>
      </c>
      <c r="F40" s="9" t="s">
        <v>48</v>
      </c>
    </row>
    <row r="41" spans="2:6" x14ac:dyDescent="0.25">
      <c r="C41" s="3" t="s">
        <v>46</v>
      </c>
      <c r="D41" s="1" t="s">
        <v>47</v>
      </c>
      <c r="E41" s="1" t="s">
        <v>47</v>
      </c>
    </row>
  </sheetData>
  <mergeCells count="9">
    <mergeCell ref="B38:C39"/>
    <mergeCell ref="D38:E38"/>
    <mergeCell ref="D16:E16"/>
    <mergeCell ref="B2:E2"/>
    <mergeCell ref="B16:C17"/>
    <mergeCell ref="D3:E3"/>
    <mergeCell ref="B3:C4"/>
    <mergeCell ref="B31:C32"/>
    <mergeCell ref="D31:E3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2FF1A-A7B3-40AE-8811-744352BD68AD}">
  <sheetPr codeName="Hoja2"/>
  <dimension ref="B1:G36"/>
  <sheetViews>
    <sheetView zoomScale="115" zoomScaleNormal="115" workbookViewId="0">
      <selection activeCell="F17" sqref="F17"/>
    </sheetView>
  </sheetViews>
  <sheetFormatPr baseColWidth="10" defaultColWidth="9.140625" defaultRowHeight="15" x14ac:dyDescent="0.25"/>
  <cols>
    <col min="1" max="1" width="18.85546875" bestFit="1" customWidth="1"/>
    <col min="2" max="2" width="10.5703125" bestFit="1" customWidth="1"/>
    <col min="3" max="3" width="48.5703125" bestFit="1" customWidth="1"/>
    <col min="4" max="4" width="12" bestFit="1" customWidth="1"/>
    <col min="5" max="5" width="16" bestFit="1" customWidth="1"/>
    <col min="6" max="6" width="16" customWidth="1"/>
    <col min="7" max="7" width="19.85546875" bestFit="1" customWidth="1"/>
  </cols>
  <sheetData>
    <row r="1" spans="2:7" ht="15.75" thickBot="1" x14ac:dyDescent="0.3">
      <c r="C1" s="4"/>
    </row>
    <row r="2" spans="2:7" ht="15.75" thickBot="1" x14ac:dyDescent="0.3">
      <c r="B2" s="25" t="s">
        <v>25</v>
      </c>
      <c r="C2" s="27"/>
      <c r="D2" s="27"/>
      <c r="E2" s="26"/>
      <c r="F2" s="9"/>
    </row>
    <row r="3" spans="2:7" ht="15.75" thickBot="1" x14ac:dyDescent="0.3">
      <c r="B3" s="21" t="s">
        <v>28</v>
      </c>
      <c r="C3" s="22"/>
      <c r="D3" s="25" t="s">
        <v>21</v>
      </c>
      <c r="E3" s="26"/>
      <c r="F3" s="9"/>
    </row>
    <row r="4" spans="2:7" ht="15.75" thickBot="1" x14ac:dyDescent="0.3">
      <c r="B4" s="23"/>
      <c r="C4" s="24"/>
      <c r="D4" s="7" t="s">
        <v>23</v>
      </c>
      <c r="E4" s="7" t="s">
        <v>22</v>
      </c>
      <c r="F4" s="9"/>
    </row>
    <row r="5" spans="2:7" ht="15.75" thickBot="1" x14ac:dyDescent="0.3">
      <c r="B5" s="8" t="s">
        <v>2</v>
      </c>
      <c r="C5" s="8" t="s">
        <v>3</v>
      </c>
      <c r="D5" s="7" t="s">
        <v>20</v>
      </c>
      <c r="E5" s="7" t="s">
        <v>20</v>
      </c>
      <c r="F5" s="9" t="s">
        <v>48</v>
      </c>
    </row>
    <row r="6" spans="2:7" x14ac:dyDescent="0.25">
      <c r="B6" s="9"/>
      <c r="C6" s="3" t="s">
        <v>26</v>
      </c>
      <c r="D6" s="1">
        <v>1</v>
      </c>
      <c r="E6" s="1">
        <v>1</v>
      </c>
      <c r="F6" s="1"/>
    </row>
    <row r="7" spans="2:7" x14ac:dyDescent="0.25">
      <c r="B7" s="9"/>
      <c r="C7" s="3" t="s">
        <v>27</v>
      </c>
      <c r="D7" s="1">
        <v>1</v>
      </c>
      <c r="E7" s="1">
        <v>1</v>
      </c>
      <c r="F7" s="9"/>
    </row>
    <row r="8" spans="2:7" x14ac:dyDescent="0.25">
      <c r="B8" s="9" t="s">
        <v>29</v>
      </c>
      <c r="C8" s="3" t="s">
        <v>43</v>
      </c>
      <c r="D8" s="1">
        <v>0</v>
      </c>
      <c r="E8" s="1">
        <v>1</v>
      </c>
      <c r="F8" s="9"/>
    </row>
    <row r="9" spans="2:7" x14ac:dyDescent="0.25">
      <c r="B9" s="9" t="s">
        <v>30</v>
      </c>
      <c r="C9" s="3" t="s">
        <v>38</v>
      </c>
      <c r="D9" s="1">
        <v>0</v>
      </c>
      <c r="E9" s="1">
        <v>1</v>
      </c>
      <c r="F9" s="9"/>
    </row>
    <row r="10" spans="2:7" x14ac:dyDescent="0.25">
      <c r="B10" s="9"/>
      <c r="C10" s="10" t="s">
        <v>31</v>
      </c>
      <c r="D10" s="1">
        <v>0</v>
      </c>
      <c r="E10" s="1">
        <v>1</v>
      </c>
      <c r="F10" s="9"/>
      <c r="G10" t="s">
        <v>36</v>
      </c>
    </row>
    <row r="11" spans="2:7" x14ac:dyDescent="0.25">
      <c r="B11" s="9" t="s">
        <v>32</v>
      </c>
      <c r="C11" s="3" t="s">
        <v>39</v>
      </c>
      <c r="D11" s="1">
        <v>0</v>
      </c>
      <c r="E11" s="1">
        <v>1</v>
      </c>
      <c r="F11" s="9"/>
    </row>
    <row r="12" spans="2:7" x14ac:dyDescent="0.25">
      <c r="B12" s="9" t="s">
        <v>33</v>
      </c>
      <c r="C12" s="3" t="s">
        <v>40</v>
      </c>
      <c r="D12" s="1">
        <v>0</v>
      </c>
      <c r="E12" s="1">
        <v>1</v>
      </c>
      <c r="F12" s="9"/>
    </row>
    <row r="13" spans="2:7" x14ac:dyDescent="0.25">
      <c r="B13" s="9" t="s">
        <v>34</v>
      </c>
      <c r="C13" s="3" t="s">
        <v>41</v>
      </c>
      <c r="D13" s="1">
        <v>0</v>
      </c>
      <c r="E13" s="1">
        <v>1</v>
      </c>
      <c r="F13" s="9"/>
    </row>
    <row r="14" spans="2:7" x14ac:dyDescent="0.25">
      <c r="B14" s="9"/>
      <c r="C14" s="9"/>
      <c r="D14" s="9"/>
      <c r="E14" s="9"/>
      <c r="F14" s="9"/>
    </row>
    <row r="15" spans="2:7" ht="15.75" thickBot="1" x14ac:dyDescent="0.3">
      <c r="B15" s="9"/>
      <c r="C15" s="9"/>
      <c r="D15" s="6"/>
      <c r="E15" s="6"/>
      <c r="F15" s="9"/>
    </row>
    <row r="16" spans="2:7" ht="15.75" thickBot="1" x14ac:dyDescent="0.3">
      <c r="B16" s="21" t="s">
        <v>0</v>
      </c>
      <c r="C16" s="22"/>
      <c r="D16" s="25" t="s">
        <v>21</v>
      </c>
      <c r="E16" s="26"/>
      <c r="F16" s="9"/>
    </row>
    <row r="17" spans="2:7" ht="15.75" thickBot="1" x14ac:dyDescent="0.3">
      <c r="B17" s="23"/>
      <c r="C17" s="24"/>
      <c r="D17" s="5" t="s">
        <v>23</v>
      </c>
      <c r="E17" s="7" t="s">
        <v>22</v>
      </c>
      <c r="F17" s="9"/>
    </row>
    <row r="18" spans="2:7" ht="15.75" thickBot="1" x14ac:dyDescent="0.3">
      <c r="B18" s="8" t="s">
        <v>2</v>
      </c>
      <c r="C18" s="8" t="s">
        <v>3</v>
      </c>
      <c r="D18" s="7" t="s">
        <v>20</v>
      </c>
      <c r="E18" s="7" t="s">
        <v>20</v>
      </c>
      <c r="F18" s="9" t="s">
        <v>48</v>
      </c>
    </row>
    <row r="19" spans="2:7" x14ac:dyDescent="0.25">
      <c r="B19" t="s">
        <v>1</v>
      </c>
      <c r="C19" s="2" t="s">
        <v>4</v>
      </c>
      <c r="D19" s="1">
        <v>1</v>
      </c>
      <c r="E19" s="1">
        <v>1</v>
      </c>
      <c r="F19" s="1"/>
    </row>
    <row r="20" spans="2:7" x14ac:dyDescent="0.25">
      <c r="B20" t="s">
        <v>6</v>
      </c>
      <c r="C20" s="3" t="s">
        <v>5</v>
      </c>
      <c r="D20" s="1">
        <v>2</v>
      </c>
      <c r="E20" s="1">
        <v>2</v>
      </c>
      <c r="F20" s="1"/>
    </row>
    <row r="21" spans="2:7" x14ac:dyDescent="0.25">
      <c r="B21" t="s">
        <v>12</v>
      </c>
      <c r="C21" s="3" t="s">
        <v>17</v>
      </c>
      <c r="D21" s="13" t="s">
        <v>35</v>
      </c>
      <c r="E21" s="13" t="s">
        <v>35</v>
      </c>
      <c r="F21" s="1"/>
    </row>
    <row r="22" spans="2:7" x14ac:dyDescent="0.25">
      <c r="B22" t="s">
        <v>18</v>
      </c>
      <c r="C22" s="10" t="s">
        <v>19</v>
      </c>
      <c r="D22" s="1">
        <v>1</v>
      </c>
      <c r="E22" s="1">
        <v>1</v>
      </c>
      <c r="F22" s="1"/>
      <c r="G22" t="s">
        <v>49</v>
      </c>
    </row>
    <row r="23" spans="2:7" x14ac:dyDescent="0.25">
      <c r="C23" s="2" t="s">
        <v>13</v>
      </c>
      <c r="D23" s="1">
        <v>1</v>
      </c>
      <c r="E23" s="1">
        <v>1</v>
      </c>
      <c r="F23" s="1"/>
    </row>
    <row r="25" spans="2:7" ht="15.75" thickBot="1" x14ac:dyDescent="0.3"/>
    <row r="26" spans="2:7" ht="15.75" thickBot="1" x14ac:dyDescent="0.3">
      <c r="B26" s="21" t="s">
        <v>44</v>
      </c>
      <c r="C26" s="22"/>
      <c r="D26" s="25" t="s">
        <v>21</v>
      </c>
      <c r="E26" s="26"/>
      <c r="F26" s="9"/>
    </row>
    <row r="27" spans="2:7" ht="15.75" thickBot="1" x14ac:dyDescent="0.3">
      <c r="B27" s="23"/>
      <c r="C27" s="24"/>
      <c r="D27" s="5" t="s">
        <v>23</v>
      </c>
      <c r="E27" s="7" t="s">
        <v>22</v>
      </c>
      <c r="F27" s="9"/>
    </row>
    <row r="28" spans="2:7" ht="15.75" thickBot="1" x14ac:dyDescent="0.3">
      <c r="B28" s="8" t="s">
        <v>2</v>
      </c>
      <c r="C28" s="8" t="s">
        <v>3</v>
      </c>
      <c r="D28" s="7" t="s">
        <v>20</v>
      </c>
      <c r="E28" s="7" t="s">
        <v>20</v>
      </c>
      <c r="F28" s="9" t="s">
        <v>48</v>
      </c>
    </row>
    <row r="32" spans="2:7" ht="15.75" thickBot="1" x14ac:dyDescent="0.3"/>
    <row r="33" spans="2:6" ht="15.75" thickBot="1" x14ac:dyDescent="0.3">
      <c r="B33" s="21" t="s">
        <v>45</v>
      </c>
      <c r="C33" s="22"/>
      <c r="D33" s="25" t="s">
        <v>21</v>
      </c>
      <c r="E33" s="26"/>
      <c r="F33" s="9"/>
    </row>
    <row r="34" spans="2:6" ht="15.75" thickBot="1" x14ac:dyDescent="0.3">
      <c r="B34" s="23"/>
      <c r="C34" s="24"/>
      <c r="D34" s="5" t="s">
        <v>23</v>
      </c>
      <c r="E34" s="7" t="s">
        <v>22</v>
      </c>
      <c r="F34" s="9"/>
    </row>
    <row r="35" spans="2:6" ht="15.75" thickBot="1" x14ac:dyDescent="0.3">
      <c r="B35" s="8" t="s">
        <v>2</v>
      </c>
      <c r="C35" s="11" t="s">
        <v>3</v>
      </c>
      <c r="D35" s="7" t="s">
        <v>20</v>
      </c>
      <c r="E35" s="7" t="s">
        <v>20</v>
      </c>
      <c r="F35" s="9" t="s">
        <v>48</v>
      </c>
    </row>
    <row r="36" spans="2:6" x14ac:dyDescent="0.25">
      <c r="C36" s="3" t="s">
        <v>46</v>
      </c>
      <c r="D36" s="1" t="s">
        <v>47</v>
      </c>
      <c r="E36" s="1" t="s">
        <v>47</v>
      </c>
      <c r="F36" s="1"/>
    </row>
  </sheetData>
  <mergeCells count="9">
    <mergeCell ref="B26:C27"/>
    <mergeCell ref="D26:E26"/>
    <mergeCell ref="B33:C34"/>
    <mergeCell ref="D33:E33"/>
    <mergeCell ref="B2:E2"/>
    <mergeCell ref="B3:C4"/>
    <mergeCell ref="D3:E3"/>
    <mergeCell ref="B16:C17"/>
    <mergeCell ref="D16:E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D6976-7A49-479B-8241-F3458313EA1A}">
  <sheetPr codeName="Hoja3"/>
  <dimension ref="A1:J23"/>
  <sheetViews>
    <sheetView tabSelected="1" zoomScale="115" zoomScaleNormal="115" workbookViewId="0">
      <selection activeCell="L18" sqref="L18"/>
    </sheetView>
  </sheetViews>
  <sheetFormatPr baseColWidth="10" defaultRowHeight="15" x14ac:dyDescent="0.25"/>
  <cols>
    <col min="1" max="1" width="14" style="1" bestFit="1" customWidth="1"/>
    <col min="2" max="2" width="15.140625" style="1" bestFit="1" customWidth="1"/>
    <col min="3" max="3" width="39" style="15" bestFit="1" customWidth="1"/>
    <col min="4" max="4" width="9" style="1" bestFit="1" customWidth="1"/>
    <col min="5" max="5" width="14.42578125" style="1" bestFit="1" customWidth="1"/>
    <col min="6" max="6" width="12.42578125" style="1" bestFit="1" customWidth="1"/>
    <col min="7" max="7" width="19" style="1" bestFit="1" customWidth="1"/>
    <col min="8" max="8" width="10.7109375" bestFit="1" customWidth="1"/>
  </cols>
  <sheetData>
    <row r="1" spans="1:10" x14ac:dyDescent="0.25">
      <c r="A1" s="9" t="s">
        <v>51</v>
      </c>
      <c r="B1" s="9" t="s">
        <v>2</v>
      </c>
      <c r="C1" s="14" t="s">
        <v>63</v>
      </c>
      <c r="D1" s="9" t="s">
        <v>52</v>
      </c>
      <c r="E1" s="9" t="s">
        <v>102</v>
      </c>
      <c r="F1" s="9" t="s">
        <v>23</v>
      </c>
      <c r="G1" s="9" t="s">
        <v>119</v>
      </c>
      <c r="H1" s="9" t="s">
        <v>88</v>
      </c>
      <c r="I1" s="9" t="s">
        <v>20</v>
      </c>
      <c r="J1" s="9" t="s">
        <v>120</v>
      </c>
    </row>
    <row r="2" spans="1:10" x14ac:dyDescent="0.25">
      <c r="A2" s="1" t="s">
        <v>53</v>
      </c>
      <c r="C2" s="15" t="s">
        <v>26</v>
      </c>
      <c r="D2" s="1" t="s">
        <v>54</v>
      </c>
      <c r="E2" s="1" t="s">
        <v>54</v>
      </c>
      <c r="F2" s="1">
        <v>1</v>
      </c>
      <c r="G2" s="1">
        <v>1</v>
      </c>
      <c r="H2" s="1">
        <v>0</v>
      </c>
      <c r="I2" s="1">
        <v>1</v>
      </c>
      <c r="J2" s="1">
        <v>1000</v>
      </c>
    </row>
    <row r="3" spans="1:10" x14ac:dyDescent="0.25">
      <c r="A3" s="1" t="s">
        <v>53</v>
      </c>
      <c r="C3" s="15" t="s">
        <v>27</v>
      </c>
      <c r="D3" s="1" t="s">
        <v>54</v>
      </c>
      <c r="E3" s="1" t="s">
        <v>54</v>
      </c>
      <c r="F3" s="1">
        <v>1</v>
      </c>
      <c r="G3" s="1">
        <v>1</v>
      </c>
      <c r="H3" s="1">
        <v>0</v>
      </c>
      <c r="I3" s="1">
        <v>1</v>
      </c>
      <c r="J3" s="1">
        <v>3500</v>
      </c>
    </row>
    <row r="4" spans="1:10" x14ac:dyDescent="0.25">
      <c r="A4" s="1" t="s">
        <v>53</v>
      </c>
      <c r="B4" s="1" t="s">
        <v>29</v>
      </c>
      <c r="C4" s="15" t="s">
        <v>43</v>
      </c>
      <c r="D4" s="1" t="s">
        <v>54</v>
      </c>
      <c r="E4" s="1" t="s">
        <v>54</v>
      </c>
      <c r="F4" s="1">
        <v>0</v>
      </c>
      <c r="G4" s="1">
        <v>1</v>
      </c>
      <c r="H4" s="1">
        <v>0</v>
      </c>
      <c r="I4" s="1">
        <v>1</v>
      </c>
      <c r="J4" s="1">
        <v>550</v>
      </c>
    </row>
    <row r="5" spans="1:10" x14ac:dyDescent="0.25">
      <c r="A5" s="1" t="s">
        <v>53</v>
      </c>
      <c r="B5" s="1" t="s">
        <v>30</v>
      </c>
      <c r="C5" s="15" t="s">
        <v>38</v>
      </c>
      <c r="D5" s="1" t="s">
        <v>54</v>
      </c>
      <c r="E5" s="1" t="s">
        <v>54</v>
      </c>
      <c r="F5" s="1">
        <v>0</v>
      </c>
      <c r="G5" s="1">
        <v>1</v>
      </c>
      <c r="H5" s="1">
        <v>0</v>
      </c>
      <c r="I5" s="1">
        <v>1</v>
      </c>
      <c r="J5" s="1">
        <v>550</v>
      </c>
    </row>
    <row r="6" spans="1:10" x14ac:dyDescent="0.25">
      <c r="A6" s="1" t="s">
        <v>53</v>
      </c>
      <c r="C6" s="15" t="s">
        <v>89</v>
      </c>
      <c r="D6" s="1" t="s">
        <v>54</v>
      </c>
      <c r="E6" s="1" t="s">
        <v>54</v>
      </c>
      <c r="F6" s="1">
        <v>0</v>
      </c>
      <c r="G6" s="1">
        <v>1</v>
      </c>
      <c r="H6" s="1">
        <v>0</v>
      </c>
      <c r="I6" s="1">
        <v>1</v>
      </c>
      <c r="J6" s="1"/>
    </row>
    <row r="7" spans="1:10" x14ac:dyDescent="0.25">
      <c r="A7" s="1" t="s">
        <v>53</v>
      </c>
      <c r="B7" s="1" t="s">
        <v>32</v>
      </c>
      <c r="C7" s="15" t="s">
        <v>68</v>
      </c>
      <c r="D7" s="1" t="s">
        <v>54</v>
      </c>
      <c r="E7" s="1" t="s">
        <v>54</v>
      </c>
      <c r="F7" s="1">
        <v>0</v>
      </c>
      <c r="G7" s="1">
        <v>1</v>
      </c>
      <c r="H7" s="1">
        <v>1</v>
      </c>
      <c r="I7" s="1">
        <v>1</v>
      </c>
      <c r="J7" s="1"/>
    </row>
    <row r="8" spans="1:10" x14ac:dyDescent="0.25">
      <c r="A8" s="1" t="s">
        <v>53</v>
      </c>
      <c r="B8" s="1" t="s">
        <v>33</v>
      </c>
      <c r="C8" s="15" t="s">
        <v>40</v>
      </c>
      <c r="D8" s="1" t="s">
        <v>54</v>
      </c>
      <c r="E8" s="1" t="s">
        <v>54</v>
      </c>
      <c r="F8" s="1">
        <v>0</v>
      </c>
      <c r="G8" s="1">
        <v>1</v>
      </c>
      <c r="H8" s="1">
        <v>1</v>
      </c>
      <c r="I8" s="1">
        <v>1</v>
      </c>
      <c r="J8" s="1"/>
    </row>
    <row r="9" spans="1:10" x14ac:dyDescent="0.25">
      <c r="A9" s="1" t="s">
        <v>53</v>
      </c>
      <c r="B9" s="1" t="s">
        <v>34</v>
      </c>
      <c r="C9" s="15" t="s">
        <v>41</v>
      </c>
      <c r="D9" s="1" t="s">
        <v>54</v>
      </c>
      <c r="E9" s="1" t="s">
        <v>54</v>
      </c>
      <c r="F9" s="1">
        <v>0</v>
      </c>
      <c r="G9" s="1">
        <v>1</v>
      </c>
      <c r="H9" s="1">
        <v>1</v>
      </c>
      <c r="I9" s="1">
        <v>1</v>
      </c>
      <c r="J9" s="1"/>
    </row>
    <row r="10" spans="1:10" x14ac:dyDescent="0.25">
      <c r="A10" s="1" t="s">
        <v>56</v>
      </c>
      <c r="B10" s="1" t="s">
        <v>1</v>
      </c>
      <c r="C10" s="15" t="s">
        <v>4</v>
      </c>
      <c r="D10" s="1" t="s">
        <v>54</v>
      </c>
      <c r="E10" s="1" t="s">
        <v>54</v>
      </c>
      <c r="F10" s="1">
        <v>1</v>
      </c>
      <c r="G10" s="1">
        <v>1</v>
      </c>
      <c r="H10" s="1">
        <v>0</v>
      </c>
      <c r="I10" s="1">
        <v>1</v>
      </c>
      <c r="J10" s="1"/>
    </row>
    <row r="11" spans="1:10" x14ac:dyDescent="0.25">
      <c r="A11" s="1" t="s">
        <v>56</v>
      </c>
      <c r="B11" s="1" t="s">
        <v>6</v>
      </c>
      <c r="C11" s="15" t="s">
        <v>5</v>
      </c>
      <c r="D11" s="1" t="s">
        <v>54</v>
      </c>
      <c r="E11" s="1" t="s">
        <v>54</v>
      </c>
      <c r="F11" s="1">
        <v>1</v>
      </c>
      <c r="G11" s="1">
        <v>1</v>
      </c>
      <c r="H11" s="1">
        <v>0</v>
      </c>
      <c r="I11" s="1">
        <v>2</v>
      </c>
      <c r="J11" s="1"/>
    </row>
    <row r="12" spans="1:10" x14ac:dyDescent="0.25">
      <c r="A12" s="1" t="s">
        <v>56</v>
      </c>
      <c r="B12" s="1" t="s">
        <v>94</v>
      </c>
      <c r="C12" s="15" t="s">
        <v>96</v>
      </c>
      <c r="D12" s="1" t="s">
        <v>57</v>
      </c>
      <c r="E12" s="1" t="s">
        <v>90</v>
      </c>
      <c r="F12" s="1">
        <v>1</v>
      </c>
      <c r="G12" s="1">
        <v>1</v>
      </c>
      <c r="H12" s="1">
        <v>0</v>
      </c>
      <c r="I12" s="1">
        <v>2</v>
      </c>
      <c r="J12" s="1"/>
    </row>
    <row r="13" spans="1:10" x14ac:dyDescent="0.25">
      <c r="A13" s="1" t="s">
        <v>56</v>
      </c>
      <c r="B13" s="1" t="s">
        <v>94</v>
      </c>
      <c r="C13" s="15" t="s">
        <v>97</v>
      </c>
      <c r="D13" s="1" t="s">
        <v>57</v>
      </c>
      <c r="E13" s="1" t="s">
        <v>90</v>
      </c>
      <c r="F13" s="1">
        <v>1</v>
      </c>
      <c r="G13" s="1">
        <v>1</v>
      </c>
      <c r="H13" s="1">
        <v>0</v>
      </c>
      <c r="I13" s="1">
        <v>2</v>
      </c>
      <c r="J13" s="1"/>
    </row>
    <row r="14" spans="1:10" x14ac:dyDescent="0.25">
      <c r="A14" s="1" t="s">
        <v>56</v>
      </c>
      <c r="B14" s="1" t="s">
        <v>7</v>
      </c>
      <c r="C14" s="15" t="s">
        <v>8</v>
      </c>
      <c r="D14" s="1" t="s">
        <v>57</v>
      </c>
      <c r="E14" s="1" t="s">
        <v>92</v>
      </c>
      <c r="F14" s="1">
        <v>1</v>
      </c>
      <c r="G14" s="1">
        <v>1</v>
      </c>
      <c r="H14" s="1">
        <v>0</v>
      </c>
      <c r="I14" s="1">
        <v>2</v>
      </c>
      <c r="J14" s="1"/>
    </row>
    <row r="15" spans="1:10" x14ac:dyDescent="0.25">
      <c r="A15" s="1" t="s">
        <v>56</v>
      </c>
      <c r="B15" s="1" t="s">
        <v>94</v>
      </c>
      <c r="C15" s="15" t="s">
        <v>95</v>
      </c>
      <c r="D15" s="1" t="s">
        <v>57</v>
      </c>
      <c r="E15" s="1" t="s">
        <v>92</v>
      </c>
      <c r="F15" s="1">
        <v>1</v>
      </c>
      <c r="G15" s="1">
        <v>1</v>
      </c>
      <c r="H15" s="1">
        <v>0</v>
      </c>
      <c r="I15" s="1">
        <v>2</v>
      </c>
      <c r="J15" s="1"/>
    </row>
    <row r="16" spans="1:10" x14ac:dyDescent="0.25">
      <c r="A16" s="1" t="s">
        <v>56</v>
      </c>
      <c r="B16" s="1" t="s">
        <v>10</v>
      </c>
      <c r="C16" s="15" t="s">
        <v>15</v>
      </c>
      <c r="D16" s="1" t="s">
        <v>57</v>
      </c>
      <c r="E16" s="1" t="s">
        <v>54</v>
      </c>
      <c r="F16" s="1">
        <v>1</v>
      </c>
      <c r="G16" s="1">
        <v>1</v>
      </c>
      <c r="H16" s="1">
        <v>0</v>
      </c>
      <c r="I16" s="1">
        <v>2</v>
      </c>
      <c r="J16" s="1"/>
    </row>
    <row r="17" spans="1:10" x14ac:dyDescent="0.25">
      <c r="A17" s="1" t="s">
        <v>56</v>
      </c>
      <c r="B17" s="1" t="s">
        <v>11</v>
      </c>
      <c r="C17" s="15" t="s">
        <v>16</v>
      </c>
      <c r="D17" s="1" t="s">
        <v>57</v>
      </c>
      <c r="E17" s="1" t="s">
        <v>54</v>
      </c>
      <c r="F17" s="1">
        <v>1</v>
      </c>
      <c r="G17" s="1">
        <v>1</v>
      </c>
      <c r="H17" s="1">
        <v>0</v>
      </c>
      <c r="I17" s="1">
        <v>2</v>
      </c>
      <c r="J17" s="1"/>
    </row>
    <row r="18" spans="1:10" x14ac:dyDescent="0.25">
      <c r="A18" s="1" t="s">
        <v>56</v>
      </c>
      <c r="B18" s="1" t="s">
        <v>12</v>
      </c>
      <c r="C18" s="15" t="s">
        <v>17</v>
      </c>
      <c r="D18" s="1" t="s">
        <v>54</v>
      </c>
      <c r="E18" s="1" t="s">
        <v>54</v>
      </c>
      <c r="F18" s="1">
        <v>1</v>
      </c>
      <c r="G18" s="1">
        <v>1</v>
      </c>
      <c r="H18" s="1">
        <v>1</v>
      </c>
      <c r="I18" s="1">
        <v>1</v>
      </c>
      <c r="J18" s="1"/>
    </row>
    <row r="19" spans="1:10" x14ac:dyDescent="0.25">
      <c r="A19" s="1" t="s">
        <v>56</v>
      </c>
      <c r="B19" s="1" t="s">
        <v>18</v>
      </c>
      <c r="C19" s="15" t="s">
        <v>19</v>
      </c>
      <c r="D19" s="1" t="s">
        <v>54</v>
      </c>
      <c r="E19" s="1" t="s">
        <v>54</v>
      </c>
      <c r="F19" s="1">
        <v>1</v>
      </c>
      <c r="G19" s="1">
        <v>1</v>
      </c>
      <c r="H19" s="1">
        <v>1</v>
      </c>
      <c r="I19" s="1">
        <v>1</v>
      </c>
      <c r="J19" s="1"/>
    </row>
    <row r="20" spans="1:10" x14ac:dyDescent="0.25">
      <c r="A20" s="1" t="s">
        <v>56</v>
      </c>
      <c r="C20" s="15" t="s">
        <v>59</v>
      </c>
      <c r="D20" s="1" t="s">
        <v>54</v>
      </c>
      <c r="E20" s="1" t="s">
        <v>54</v>
      </c>
      <c r="F20" s="1">
        <v>1</v>
      </c>
      <c r="G20" s="1">
        <v>1</v>
      </c>
      <c r="H20" s="1">
        <v>1</v>
      </c>
      <c r="I20" s="1">
        <v>1</v>
      </c>
      <c r="J20" s="1"/>
    </row>
    <row r="21" spans="1:10" x14ac:dyDescent="0.25">
      <c r="A21" s="1" t="s">
        <v>56</v>
      </c>
      <c r="B21" s="1" t="s">
        <v>37</v>
      </c>
      <c r="C21" s="15" t="s">
        <v>42</v>
      </c>
      <c r="D21" s="1" t="s">
        <v>57</v>
      </c>
      <c r="E21" s="1" t="s">
        <v>54</v>
      </c>
      <c r="F21" s="1">
        <v>1</v>
      </c>
      <c r="G21" s="1">
        <v>1</v>
      </c>
      <c r="H21" s="1">
        <v>1</v>
      </c>
      <c r="I21" s="1">
        <v>1</v>
      </c>
      <c r="J21" s="1"/>
    </row>
    <row r="22" spans="1:10" x14ac:dyDescent="0.25">
      <c r="A22" s="1" t="s">
        <v>56</v>
      </c>
      <c r="C22" s="15" t="s">
        <v>13</v>
      </c>
      <c r="D22" s="1" t="s">
        <v>54</v>
      </c>
      <c r="E22" s="1" t="s">
        <v>54</v>
      </c>
      <c r="F22" s="1">
        <v>1</v>
      </c>
      <c r="G22" s="1">
        <v>1</v>
      </c>
      <c r="H22" s="1">
        <v>0</v>
      </c>
      <c r="I22" s="1">
        <v>1</v>
      </c>
      <c r="J22" s="1"/>
    </row>
    <row r="23" spans="1:10" x14ac:dyDescent="0.25">
      <c r="A23" s="1" t="s">
        <v>56</v>
      </c>
      <c r="C23" s="15" t="s">
        <v>77</v>
      </c>
      <c r="D23" s="1" t="s">
        <v>54</v>
      </c>
      <c r="E23" s="1" t="s">
        <v>54</v>
      </c>
      <c r="F23" s="1">
        <v>1</v>
      </c>
      <c r="G23" s="1">
        <v>1</v>
      </c>
      <c r="H23" s="1">
        <v>1</v>
      </c>
      <c r="I23" s="1">
        <v>1</v>
      </c>
      <c r="J23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50B18-AF77-43FE-95A4-3F2D6E9951DA}">
  <sheetPr codeName="Hoja4"/>
  <dimension ref="A1:K34"/>
  <sheetViews>
    <sheetView zoomScale="115" zoomScaleNormal="115" workbookViewId="0">
      <selection activeCell="A4" sqref="A4"/>
    </sheetView>
  </sheetViews>
  <sheetFormatPr baseColWidth="10" defaultRowHeight="15" x14ac:dyDescent="0.25"/>
  <cols>
    <col min="1" max="1" width="37.42578125" customWidth="1"/>
    <col min="2" max="2" width="15" style="1" bestFit="1" customWidth="1"/>
    <col min="4" max="4" width="39" bestFit="1" customWidth="1"/>
    <col min="5" max="5" width="8.85546875" bestFit="1" customWidth="1"/>
    <col min="9" max="10" width="15.140625" bestFit="1" customWidth="1"/>
  </cols>
  <sheetData>
    <row r="1" spans="1:11" x14ac:dyDescent="0.25">
      <c r="A1" s="9" t="s">
        <v>52</v>
      </c>
      <c r="B1" s="1" t="s">
        <v>100</v>
      </c>
    </row>
    <row r="2" spans="1:11" x14ac:dyDescent="0.25">
      <c r="A2" s="9" t="s">
        <v>61</v>
      </c>
      <c r="B2" s="1" t="s">
        <v>101</v>
      </c>
      <c r="I2" s="9"/>
      <c r="J2" s="1"/>
    </row>
    <row r="3" spans="1:11" x14ac:dyDescent="0.25">
      <c r="A3" s="9" t="s">
        <v>60</v>
      </c>
      <c r="B3" s="1" t="s">
        <v>58</v>
      </c>
      <c r="I3" s="9"/>
      <c r="J3" s="1"/>
    </row>
    <row r="4" spans="1:11" x14ac:dyDescent="0.25">
      <c r="A4" s="9" t="s">
        <v>93</v>
      </c>
      <c r="B4" s="1" t="s">
        <v>55</v>
      </c>
      <c r="I4" s="9"/>
      <c r="J4" s="1"/>
    </row>
    <row r="5" spans="1:11" x14ac:dyDescent="0.25">
      <c r="A5" s="9" t="s">
        <v>98</v>
      </c>
      <c r="B5" s="1" t="s">
        <v>58</v>
      </c>
      <c r="I5" s="9"/>
      <c r="J5" s="1"/>
    </row>
    <row r="6" spans="1:11" x14ac:dyDescent="0.25">
      <c r="A6" s="9" t="s">
        <v>102</v>
      </c>
      <c r="B6" s="1" t="s">
        <v>90</v>
      </c>
      <c r="I6" s="9"/>
      <c r="J6" s="1"/>
    </row>
    <row r="7" spans="1:11" x14ac:dyDescent="0.25">
      <c r="A7" s="9" t="s">
        <v>35</v>
      </c>
      <c r="B7" s="1">
        <v>100</v>
      </c>
      <c r="I7" s="9"/>
      <c r="J7" s="1"/>
    </row>
    <row r="8" spans="1:11" x14ac:dyDescent="0.25">
      <c r="A8" s="9" t="s">
        <v>78</v>
      </c>
      <c r="B8" s="1">
        <v>1</v>
      </c>
      <c r="I8" s="9"/>
      <c r="J8" s="1"/>
      <c r="K8" s="1"/>
    </row>
    <row r="9" spans="1:11" ht="15.75" thickBot="1" x14ac:dyDescent="0.3"/>
    <row r="10" spans="1:11" ht="15.75" thickBot="1" x14ac:dyDescent="0.3">
      <c r="D10" s="11" t="s">
        <v>103</v>
      </c>
      <c r="E10" s="7" t="s">
        <v>20</v>
      </c>
    </row>
    <row r="11" spans="1:11" x14ac:dyDescent="0.25">
      <c r="D11" t="str" cm="1">
        <f t="array" ref="D11:D18">_xlfn._xlws.FILTER(Tbl_Materiales[Descripcion],
 (Tbl_Materiales[Categoria]="Interno") *
 ((Tbl_Materiales[Red]=$B$1) + (Tbl_Materiales[Red]="Ambos")),
 "No se encontraron materiales"
)</f>
        <v>SOPORTERIA (focos,camaras,fotocelulas..)</v>
      </c>
    </row>
    <row r="12" spans="1:11" x14ac:dyDescent="0.25">
      <c r="D12" t="str">
        <v>KS-PREMONTAJES CAMARA (+P0, +AE,+CU)</v>
      </c>
    </row>
    <row r="13" spans="1:11" x14ac:dyDescent="0.25">
      <c r="D13" t="str">
        <v>KI-BALIZA CONTROL</v>
      </c>
    </row>
    <row r="14" spans="1:11" x14ac:dyDescent="0.25">
      <c r="D14" t="str">
        <v>KI-BOTONERA CONTROL</v>
      </c>
    </row>
    <row r="15" spans="1:11" x14ac:dyDescent="0.25">
      <c r="D15" t="str">
        <v>SETA EMERGENCIA</v>
      </c>
    </row>
    <row r="16" spans="1:11" x14ac:dyDescent="0.25">
      <c r="D16" t="str">
        <v>KI-ARMARIO AUX</v>
      </c>
    </row>
    <row r="17" spans="4:5" x14ac:dyDescent="0.25">
      <c r="D17" t="str">
        <v>KS-MANGUERAS +XAUX</v>
      </c>
    </row>
    <row r="18" spans="4:5" x14ac:dyDescent="0.25">
      <c r="D18" t="str">
        <v>KS-MANGUERAS +CR</v>
      </c>
    </row>
    <row r="26" spans="4:5" ht="15.75" thickBot="1" x14ac:dyDescent="0.3"/>
    <row r="27" spans="4:5" ht="15.75" thickBot="1" x14ac:dyDescent="0.3">
      <c r="D27" s="11" t="s">
        <v>104</v>
      </c>
      <c r="E27" s="7" t="s">
        <v>20</v>
      </c>
    </row>
    <row r="28" spans="4:5" x14ac:dyDescent="0.25">
      <c r="D28" t="str" cm="1">
        <f t="array" ref="D28:D34">_xlfn._xlws.FILTER(Tbl_Materiales[Descripcion],
 (Tbl_Materiales[Categoria]="Externo") *
 ((Tbl_Materiales[Red]=$B$1) + (Tbl_Materiales[Red]="Ambos")),
 "No se encontraron materiales"
)</f>
        <v>KI-SISTEMA VISION CUNA MT/MTB 3G</v>
      </c>
    </row>
    <row r="29" spans="4:5" x14ac:dyDescent="0.25">
      <c r="D29" t="str">
        <v>FOCO LED 10W 220V 6500K 1150LM</v>
      </c>
    </row>
    <row r="30" spans="4:5" x14ac:dyDescent="0.25">
      <c r="D30" t="str">
        <v>MANGUERA  3G1,0 NUM.-ML</v>
      </c>
    </row>
    <row r="31" spans="4:5" x14ac:dyDescent="0.25">
      <c r="D31" t="str">
        <v>MONITOR DELL 19"</v>
      </c>
    </row>
    <row r="32" spans="4:5" x14ac:dyDescent="0.25">
      <c r="D32" t="str">
        <v>TABLET</v>
      </c>
    </row>
    <row r="33" spans="4:4" x14ac:dyDescent="0.25">
      <c r="D33" t="str">
        <v>Material varios</v>
      </c>
    </row>
    <row r="34" spans="4:4" x14ac:dyDescent="0.25">
      <c r="D34" t="str">
        <v>CPC 1 PC</v>
      </c>
    </row>
  </sheetData>
  <dataValidations count="5">
    <dataValidation type="list" allowBlank="1" showInputMessage="1" showErrorMessage="1" sqref="B1 J2" xr:uid="{C87D0CAA-1643-420C-93D3-8715AA66141B}">
      <formula1>"Profibus,Profinet"</formula1>
    </dataValidation>
    <dataValidation type="list" allowBlank="1" showInputMessage="1" showErrorMessage="1" sqref="B2 J3" xr:uid="{C95A5993-6DBE-452C-AB38-45CE05CC114C}">
      <formula1>"Vision,Vision + Control"</formula1>
    </dataValidation>
    <dataValidation type="list" allowBlank="1" showInputMessage="1" showErrorMessage="1" sqref="B3:B5 J4:J6" xr:uid="{EFC17068-B3CD-4FAC-9C0D-A29B35C66C7B}">
      <formula1>"SI,NO"</formula1>
    </dataValidation>
    <dataValidation type="list" allowBlank="1" showInputMessage="1" showErrorMessage="1" sqref="B6 J7" xr:uid="{61753992-4CEC-4D93-85A7-E082E9ACA9D4}">
      <formula1>"Ambiente,Frio"</formula1>
    </dataValidation>
    <dataValidation type="whole" operator="greaterThanOrEqual" allowBlank="1" showInputMessage="1" showErrorMessage="1" sqref="B8 K8" xr:uid="{8853308B-908C-4E4C-B1B7-F4B01A7F9EF5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8C75-375B-499C-8AF5-2C6616715BF0}">
  <sheetPr codeName="Hoja6"/>
  <dimension ref="C2:E16"/>
  <sheetViews>
    <sheetView topLeftCell="A21" zoomScale="115" zoomScaleNormal="115" workbookViewId="0">
      <selection activeCell="D38" sqref="D38"/>
    </sheetView>
  </sheetViews>
  <sheetFormatPr baseColWidth="10" defaultRowHeight="15" x14ac:dyDescent="0.25"/>
  <cols>
    <col min="3" max="3" width="17.5703125" bestFit="1" customWidth="1"/>
    <col min="4" max="4" width="42.140625" style="1" bestFit="1" customWidth="1"/>
    <col min="5" max="5" width="38.28515625" style="1" bestFit="1" customWidth="1"/>
  </cols>
  <sheetData>
    <row r="2" spans="3:5" x14ac:dyDescent="0.25">
      <c r="C2" s="18"/>
      <c r="D2" s="19" t="s">
        <v>118</v>
      </c>
      <c r="E2" s="19" t="s">
        <v>107</v>
      </c>
    </row>
    <row r="3" spans="3:5" hidden="1" x14ac:dyDescent="0.25">
      <c r="C3" s="19" t="s">
        <v>52</v>
      </c>
      <c r="D3" s="20" t="s">
        <v>100</v>
      </c>
      <c r="E3" s="20" t="s">
        <v>110</v>
      </c>
    </row>
    <row r="4" spans="3:5" hidden="1" x14ac:dyDescent="0.25">
      <c r="C4" s="19" t="s">
        <v>52</v>
      </c>
      <c r="D4" s="20" t="s">
        <v>57</v>
      </c>
      <c r="E4" s="20" t="s">
        <v>111</v>
      </c>
    </row>
    <row r="5" spans="3:5" x14ac:dyDescent="0.25">
      <c r="C5" s="19" t="s">
        <v>61</v>
      </c>
      <c r="D5" s="20" t="s">
        <v>101</v>
      </c>
      <c r="E5" s="20" t="s">
        <v>105</v>
      </c>
    </row>
    <row r="6" spans="3:5" x14ac:dyDescent="0.25">
      <c r="C6" s="19" t="s">
        <v>61</v>
      </c>
      <c r="D6" s="20" t="s">
        <v>65</v>
      </c>
      <c r="E6" s="20" t="s">
        <v>106</v>
      </c>
    </row>
    <row r="7" spans="3:5" x14ac:dyDescent="0.25">
      <c r="C7" s="19" t="s">
        <v>60</v>
      </c>
      <c r="D7" s="20" t="s">
        <v>58</v>
      </c>
      <c r="E7" s="20" t="s">
        <v>108</v>
      </c>
    </row>
    <row r="8" spans="3:5" x14ac:dyDescent="0.25">
      <c r="C8" s="19" t="s">
        <v>60</v>
      </c>
      <c r="D8" s="20" t="s">
        <v>55</v>
      </c>
      <c r="E8" s="20" t="s">
        <v>112</v>
      </c>
    </row>
    <row r="9" spans="3:5" x14ac:dyDescent="0.25">
      <c r="C9" s="19" t="s">
        <v>93</v>
      </c>
      <c r="D9" s="20" t="s">
        <v>58</v>
      </c>
      <c r="E9" s="20" t="s">
        <v>109</v>
      </c>
    </row>
    <row r="10" spans="3:5" x14ac:dyDescent="0.25">
      <c r="C10" s="19" t="s">
        <v>93</v>
      </c>
      <c r="D10" s="20" t="s">
        <v>55</v>
      </c>
      <c r="E10" s="20" t="s">
        <v>113</v>
      </c>
    </row>
    <row r="11" spans="3:5" x14ac:dyDescent="0.25">
      <c r="C11" s="19" t="s">
        <v>98</v>
      </c>
      <c r="D11" s="20" t="s">
        <v>58</v>
      </c>
      <c r="E11" s="20" t="s">
        <v>114</v>
      </c>
    </row>
    <row r="12" spans="3:5" x14ac:dyDescent="0.25">
      <c r="C12" s="19" t="s">
        <v>98</v>
      </c>
      <c r="D12" s="20" t="s">
        <v>55</v>
      </c>
      <c r="E12" s="20" t="s">
        <v>115</v>
      </c>
    </row>
    <row r="13" spans="3:5" x14ac:dyDescent="0.25">
      <c r="C13" s="19" t="s">
        <v>102</v>
      </c>
      <c r="D13" s="20" t="s">
        <v>90</v>
      </c>
      <c r="E13" s="20" t="s">
        <v>116</v>
      </c>
    </row>
    <row r="14" spans="3:5" x14ac:dyDescent="0.25">
      <c r="C14" s="19" t="s">
        <v>102</v>
      </c>
      <c r="D14" s="20" t="s">
        <v>92</v>
      </c>
      <c r="E14" s="20" t="s">
        <v>117</v>
      </c>
    </row>
    <row r="15" spans="3:5" x14ac:dyDescent="0.25">
      <c r="C15" s="9" t="s">
        <v>35</v>
      </c>
    </row>
    <row r="16" spans="3:5" x14ac:dyDescent="0.25">
      <c r="C16" s="9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86389-73E1-4940-B499-AE87FFA27B1F}">
  <sheetPr codeName="Hoja5"/>
  <dimension ref="A1:G40"/>
  <sheetViews>
    <sheetView zoomScaleNormal="100" workbookViewId="0">
      <selection activeCell="E15" sqref="E15"/>
    </sheetView>
  </sheetViews>
  <sheetFormatPr baseColWidth="10" defaultRowHeight="15" x14ac:dyDescent="0.25"/>
  <cols>
    <col min="1" max="1" width="39" bestFit="1" customWidth="1"/>
    <col min="2" max="2" width="31.7109375" style="1" bestFit="1" customWidth="1"/>
    <col min="3" max="3" width="11.85546875" bestFit="1" customWidth="1"/>
    <col min="4" max="4" width="18.42578125" bestFit="1" customWidth="1"/>
    <col min="6" max="6" width="86.85546875" bestFit="1" customWidth="1"/>
    <col min="7" max="7" width="35" bestFit="1" customWidth="1"/>
  </cols>
  <sheetData>
    <row r="1" spans="1:7" ht="21" x14ac:dyDescent="0.35">
      <c r="A1" s="16" t="s">
        <v>52</v>
      </c>
      <c r="B1" s="17" t="s">
        <v>57</v>
      </c>
      <c r="E1" t="s">
        <v>121</v>
      </c>
      <c r="F1" t="s">
        <v>75</v>
      </c>
    </row>
    <row r="2" spans="1:7" ht="21" x14ac:dyDescent="0.35">
      <c r="A2" s="16" t="s">
        <v>61</v>
      </c>
      <c r="B2" s="17" t="s">
        <v>65</v>
      </c>
      <c r="E2" t="s">
        <v>122</v>
      </c>
      <c r="F2" t="s">
        <v>66</v>
      </c>
    </row>
    <row r="3" spans="1:7" ht="21" x14ac:dyDescent="0.35">
      <c r="A3" s="16" t="s">
        <v>60</v>
      </c>
      <c r="B3" s="17" t="s">
        <v>55</v>
      </c>
      <c r="E3" t="s">
        <v>122</v>
      </c>
      <c r="F3" t="s">
        <v>67</v>
      </c>
    </row>
    <row r="4" spans="1:7" ht="21" x14ac:dyDescent="0.35">
      <c r="A4" s="16" t="s">
        <v>98</v>
      </c>
      <c r="B4" s="17" t="s">
        <v>58</v>
      </c>
    </row>
    <row r="5" spans="1:7" ht="21" x14ac:dyDescent="0.35">
      <c r="A5" s="16" t="s">
        <v>91</v>
      </c>
      <c r="B5" s="17"/>
    </row>
    <row r="6" spans="1:7" ht="21" x14ac:dyDescent="0.35">
      <c r="A6" s="16" t="s">
        <v>35</v>
      </c>
      <c r="B6" s="17">
        <v>100</v>
      </c>
      <c r="E6" t="s">
        <v>122</v>
      </c>
      <c r="F6" t="s">
        <v>69</v>
      </c>
      <c r="G6" t="s">
        <v>70</v>
      </c>
    </row>
    <row r="7" spans="1:7" ht="21" x14ac:dyDescent="0.35">
      <c r="A7" s="16" t="s">
        <v>78</v>
      </c>
      <c r="B7" s="17">
        <v>8</v>
      </c>
      <c r="E7" t="s">
        <v>122</v>
      </c>
      <c r="F7" t="s">
        <v>81</v>
      </c>
    </row>
    <row r="8" spans="1:7" ht="15.75" thickBot="1" x14ac:dyDescent="0.3">
      <c r="G8" t="s">
        <v>71</v>
      </c>
    </row>
    <row r="9" spans="1:7" ht="15.75" thickBot="1" x14ac:dyDescent="0.3">
      <c r="A9" s="11" t="s">
        <v>62</v>
      </c>
      <c r="B9" s="7" t="s">
        <v>20</v>
      </c>
      <c r="G9" t="s">
        <v>72</v>
      </c>
    </row>
    <row r="10" spans="1:7" x14ac:dyDescent="0.25">
      <c r="A10" t="e" cm="1">
        <f t="array" ref="A10">_xlfn._xlws.FILTER(Tbl_Materiales[Descripcion],
(Tbl_Materiales[Categoria]="Interno") *
((Tbl_Materiales[Red]=Sel_Red)+(Tbl_Materiales[Red]="Ambos")) *
(IF(Sel_Interfaz="SI",(#REF!="SI")+(#REF!="Ambos")+(#REF!="0"),(#REF!="Ambos")+(#REF!="0"))) *
(#REF!=Sel_Vision) *
(Tbl_Materiales[Clima]=Sel_Exposicion) *
(IF(#REF!="SI",Sel_Distancia,IF(Sel_Funcion="Visualización",Tbl_Materiales[Vis],Tbl_Materiales[VisControl]))&gt;0),
"No hay materiales")</f>
        <v>#REF!</v>
      </c>
      <c r="B10" s="1" t="e" cm="1">
        <f t="array" aca="1" ref="B10" ca="1">DEJAR(lista,_xlfn.ANCHORARRAY(A7),cantidad_base,IF(_xlfn.XLOOKUP(lista,Tbl_Materiales[Descripcion],#REF!)="SI",Sel_Distancia,IF(Sel_Funcion="Visualización",_xlfn.XLOOKUP(lista,Tbl_Materiales[Descripcion],Tbl_Materiales[Vis]),_xlfn.XLOOKUP(lista,Tbl_Materiales[Descripcion],Tbl_Materiales[VisControl]))),es_unico,_xlfn.XLOOKUP(lista,Tbl_Materiales[Descripcion],Tbl_Materiales[Unico]),IF(es_unico="NO",cantidad_base*Sel_NumMaq,cantidad_base))</f>
        <v>#NAME?</v>
      </c>
      <c r="G10" t="s">
        <v>73</v>
      </c>
    </row>
    <row r="11" spans="1:7" x14ac:dyDescent="0.25">
      <c r="E11" t="s">
        <v>122</v>
      </c>
      <c r="F11" t="s">
        <v>76</v>
      </c>
    </row>
    <row r="13" spans="1:7" x14ac:dyDescent="0.25">
      <c r="F13" s="12" t="s">
        <v>87</v>
      </c>
    </row>
    <row r="15" spans="1:7" x14ac:dyDescent="0.25">
      <c r="F15" s="12" t="s">
        <v>85</v>
      </c>
    </row>
    <row r="19" spans="1:6" x14ac:dyDescent="0.25">
      <c r="F19" t="s">
        <v>82</v>
      </c>
    </row>
    <row r="21" spans="1:6" x14ac:dyDescent="0.25">
      <c r="F21" t="s">
        <v>99</v>
      </c>
    </row>
    <row r="22" spans="1:6" x14ac:dyDescent="0.25">
      <c r="F22" t="s">
        <v>80</v>
      </c>
    </row>
    <row r="23" spans="1:6" x14ac:dyDescent="0.25">
      <c r="F23" t="s">
        <v>83</v>
      </c>
    </row>
    <row r="24" spans="1:6" ht="15.75" thickBot="1" x14ac:dyDescent="0.3"/>
    <row r="25" spans="1:6" ht="15.75" thickBot="1" x14ac:dyDescent="0.3">
      <c r="A25" s="11" t="s">
        <v>64</v>
      </c>
      <c r="B25" s="7" t="s">
        <v>20</v>
      </c>
    </row>
    <row r="26" spans="1:6" x14ac:dyDescent="0.25">
      <c r="A26" t="e" cm="1">
        <f t="array" ref="A26">_xlfn._xlws.FILTER(Tbl_Materiales[Descripcion],
(Tbl_Materiales[Categoria]="Externo") *
((Tbl_Materiales[Red]=Sel_Red)+(Tbl_Materiales[Red]="Ambos")) *
(#REF!=Sel_Interfaz) *
(#REF!=Sel_Vision) *
(Tbl_Materiales[Clima]=Sel_Exposicion) *
(IF(#REF!="SI",Sel_Distancia,IF(Sel_Funcion="Visualización",Tbl_Materiales[Vis],Tbl_Materiales[VisControl]))&gt;0),
"No hay materiales")</f>
        <v>#REF!</v>
      </c>
    </row>
    <row r="28" spans="1:6" x14ac:dyDescent="0.25">
      <c r="F28" s="12" t="s">
        <v>79</v>
      </c>
    </row>
    <row r="34" spans="6:6" x14ac:dyDescent="0.25">
      <c r="F34" t="s">
        <v>74</v>
      </c>
    </row>
    <row r="36" spans="6:6" x14ac:dyDescent="0.25">
      <c r="F36" t="s">
        <v>86</v>
      </c>
    </row>
    <row r="40" spans="6:6" x14ac:dyDescent="0.25">
      <c r="F40" t="s">
        <v>84</v>
      </c>
    </row>
  </sheetData>
  <dataValidations count="5">
    <dataValidation type="list" allowBlank="1" showInputMessage="1" showErrorMessage="1" sqref="B1" xr:uid="{0B02DA28-6EF4-4730-8BFF-1349D9774F79}">
      <formula1>"Profibus,Profinet"</formula1>
    </dataValidation>
    <dataValidation type="list" allowBlank="1" showInputMessage="1" showErrorMessage="1" sqref="B2" xr:uid="{EB3ED0D2-213D-4CD1-A721-D4DC42BEC5CD}">
      <formula1>"Visualización, Visualización + Control"</formula1>
    </dataValidation>
    <dataValidation type="list" allowBlank="1" showInputMessage="1" showErrorMessage="1" sqref="B3:B4" xr:uid="{85F9D40F-A397-451F-80E7-4601D282B69A}">
      <formula1>"SI,NO"</formula1>
    </dataValidation>
    <dataValidation type="whole" operator="greaterThan" allowBlank="1" showInputMessage="1" showErrorMessage="1" errorTitle="Error" error="Por favor, introduce un número positivo" sqref="B6 B7" xr:uid="{C3821E59-7132-4505-9C80-4FB7EFC5B9FA}">
      <formula1>0</formula1>
    </dataValidation>
    <dataValidation type="list" allowBlank="1" showInputMessage="1" showErrorMessage="1" sqref="B5" xr:uid="{EF87363A-E920-45D5-9051-C9AD2282E28E}">
      <formula1>"Ambiente,Frio"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9</vt:i4>
      </vt:variant>
    </vt:vector>
  </HeadingPairs>
  <TitlesOfParts>
    <vt:vector size="15" baseType="lpstr">
      <vt:lpstr>PROFIBUS</vt:lpstr>
      <vt:lpstr>PROFINET</vt:lpstr>
      <vt:lpstr>BD_Materiales</vt:lpstr>
      <vt:lpstr>Configurador2</vt:lpstr>
      <vt:lpstr>Descomp</vt:lpstr>
      <vt:lpstr>Configurador</vt:lpstr>
      <vt:lpstr>Num_Maq</vt:lpstr>
      <vt:lpstr>Sel_Distancia</vt:lpstr>
      <vt:lpstr>Sel_Exposicion</vt:lpstr>
      <vt:lpstr>Sel_Funcion</vt:lpstr>
      <vt:lpstr>Sel_Interfaz</vt:lpstr>
      <vt:lpstr>Sel_NumMaq</vt:lpstr>
      <vt:lpstr>Sel_Red</vt:lpstr>
      <vt:lpstr>Sel_Tablet</vt:lpstr>
      <vt:lpstr>Sel_Vision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Vargas Olivencia</dc:creator>
  <cp:lastModifiedBy>Daniel Vargas Olivencia</cp:lastModifiedBy>
  <dcterms:created xsi:type="dcterms:W3CDTF">2015-06-05T18:19:34Z</dcterms:created>
  <dcterms:modified xsi:type="dcterms:W3CDTF">2025-10-29T10:16:50Z</dcterms:modified>
</cp:coreProperties>
</file>